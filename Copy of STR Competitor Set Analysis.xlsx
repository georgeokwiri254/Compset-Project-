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servations\Desktop\Compset Tool\"/>
    </mc:Choice>
  </mc:AlternateContent>
  <xr:revisionPtr revIDLastSave="0" documentId="13_ncr:1_{99D9FF92-03B3-45F2-93F3-6CE4432B19A9}" xr6:coauthVersionLast="47" xr6:coauthVersionMax="47" xr10:uidLastSave="{00000000-0000-0000-0000-000000000000}"/>
  <bookViews>
    <workbookView xWindow="-120" yWindow="-120" windowWidth="24240" windowHeight="13140" firstSheet="2" activeTab="3" xr2:uid="{00000000-000D-0000-FFFF-FFFF00000000}"/>
  </bookViews>
  <sheets>
    <sheet name="Executive Summary" sheetId="1" r:id="rId1"/>
    <sheet name="Complete Compset Matrix" sheetId="2" r:id="rId2"/>
    <sheet name="Business Mix Analysis" sheetId="3" r:id="rId3"/>
    <sheet name="Rate Comparison Apr 2026" sheetId="4" r:id="rId4"/>
    <sheet name="Strategic Recommendations" sheetId="5" r:id="rId5"/>
    <sheet name="Visual Analysis" sheetId="6" r:id="rId6"/>
  </sheets>
  <calcPr calcId="0"/>
</workbook>
</file>

<file path=xl/sharedStrings.xml><?xml version="1.0" encoding="utf-8"?>
<sst xmlns="http://schemas.openxmlformats.org/spreadsheetml/2006/main" count="278" uniqueCount="215">
  <si>
    <t>GRAND MILLENNIUM DUBAI - FINAL COMPETITIVE SET ANALYSIS</t>
  </si>
  <si>
    <t>Analysis Date: November 05, 2025</t>
  </si>
  <si>
    <t>Business Mix Data: Grand Millennium as at April 30, 2025</t>
  </si>
  <si>
    <t>Rate Check: April 1, 2026 (Estimated BAR)</t>
  </si>
  <si>
    <t>COMPETITIVE SET STRUCTURE</t>
  </si>
  <si>
    <t>PRIMARY COMPSET (5 Hotels):</t>
  </si>
  <si>
    <t>1. Grand Millennium Dubai (SUBJECT) - 339 rooms, 5★, 9.1 rating, 132 apartments</t>
  </si>
  <si>
    <t>2. Radisson Blu Dubai Media City - 246 rooms, 5★, Strong MICE, 2.1km</t>
  </si>
  <si>
    <t>3. voco Bonnington Dubai - 208 rooms, 5★, IHG brand, JLT, 3.5km</t>
  </si>
  <si>
    <t>4. Zabeel House The Greens - 210 rooms, 4★, Jumeirah brand, 4.2km</t>
  </si>
  <si>
    <t>5. Media One Hotel - 264 rooms, 4★, Entertainment focus, 2.0km</t>
  </si>
  <si>
    <t>SECONDARY COMPSET (4 Hotels):</t>
  </si>
  <si>
    <t>6. Media Rotana - 537 rooms, 5★, Regional brand, Strong F&amp;B, 1.8km</t>
  </si>
  <si>
    <t>7. Novotel Dubai Al Barsha - 465 rooms, 4★, Accor brand, Close proximity, 0.5km</t>
  </si>
  <si>
    <t>8. Pullman JLT Hotel &amp; Residence - 354 rooms, 5★, Accor upscale, JLT, 3.8km</t>
  </si>
  <si>
    <t>9. DoubleTree Al Barsha (CLOSED) - Historical competitor, monitoring only</t>
  </si>
  <si>
    <t>KEY FINDINGS:</t>
  </si>
  <si>
    <t>✓ JW Marriott Marquis REMOVED - Different scale (1,608 rooms) and ultra-premium tier</t>
  </si>
  <si>
    <t>✓ Grand Millennium maintains HIGHEST guest rating (9.1) in entire compset</t>
  </si>
  <si>
    <t>✓ Unique apartment offering (132 units) - only GM and Pullman have significant serviced units</t>
  </si>
  <si>
    <t>✓ Rate positioning: AED 680 BAR premium justified vs primary compset (avg AED 575)</t>
  </si>
  <si>
    <t>✓ Business Mix: 20% long-stay (highest in compset) due to apartment inventory</t>
  </si>
  <si>
    <t>✓ MICE positioning: Sweet spot for 100-400 pax events (between boutique &amp; mega venues)</t>
  </si>
  <si>
    <t>FINAL COMPETITIVE POSITIONING</t>
  </si>
  <si>
    <t>✓ 9-hotel compset: 5 Primary + 3 Active Secondary + 1 Closed (historical)</t>
  </si>
  <si>
    <t>✓ NO JW Marriott Marquis - Removed due to scale/segment mismatch</t>
  </si>
  <si>
    <t>✓ Grand Millennium: #1 rated property (9.1) across entire compset</t>
  </si>
  <si>
    <t>✓ Unique position: Only full-service 5-star with significant apartments (132 units)</t>
  </si>
  <si>
    <t>✓ Rate strategy: Maintain AED 680 premium vs primary compset (avg AED 575)</t>
  </si>
  <si>
    <t>✓ Business mix strength: 20% long-stay (highest in market) from apartments</t>
  </si>
  <si>
    <t>✓ Primary monitoring: Radisson Blu (DAILY) and voco Bonnington (DAILY)</t>
  </si>
  <si>
    <t>✓ Secondary value: Pullman JLT (apartment benchmark), Media Rotana (F&amp;B/MICE)</t>
  </si>
  <si>
    <t>✓ Strategic advantage: Sweet spot for 100-400 pax MICE events</t>
  </si>
  <si>
    <t>COMPLETE COMPETITIVE SET - PRIMARY &amp; SECONDARY</t>
  </si>
  <si>
    <t>Hotel Name</t>
  </si>
  <si>
    <t>Tier</t>
  </si>
  <si>
    <t>Star</t>
  </si>
  <si>
    <t>Rooms</t>
  </si>
  <si>
    <t>Apts</t>
  </si>
  <si>
    <t>Dist (km)</t>
  </si>
  <si>
    <t>Location</t>
  </si>
  <si>
    <t>Mtg Space (sqm)</t>
  </si>
  <si>
    <t>Max Cap</t>
  </si>
  <si>
    <t>Mtg Rooms</t>
  </si>
  <si>
    <t>Booking.com</t>
  </si>
  <si>
    <t>TripAdvisor</t>
  </si>
  <si>
    <t>Brand</t>
  </si>
  <si>
    <t>Exec Lounge</t>
  </si>
  <si>
    <t>Restaurants</t>
  </si>
  <si>
    <t>BAR Apr'26</t>
  </si>
  <si>
    <t>Notes</t>
  </si>
  <si>
    <t>Grand Millennium Dubai</t>
  </si>
  <si>
    <t>SUBJECT</t>
  </si>
  <si>
    <t>Barsha Heights, SZR</t>
  </si>
  <si>
    <t>Millennium</t>
  </si>
  <si>
    <t>Yes</t>
  </si>
  <si>
    <t>Subject property</t>
  </si>
  <si>
    <t>Radisson Blu Media City</t>
  </si>
  <si>
    <t>PRIMARY</t>
  </si>
  <si>
    <t>Dubai Media City</t>
  </si>
  <si>
    <t>Radisson</t>
  </si>
  <si>
    <t>Strong MICE competitor</t>
  </si>
  <si>
    <t>voco Bonnington Dubai</t>
  </si>
  <si>
    <t>JLT</t>
  </si>
  <si>
    <t>IHG</t>
  </si>
  <si>
    <t>Premium positioning</t>
  </si>
  <si>
    <t>Zabeel House Greens</t>
  </si>
  <si>
    <t>The Greens, SZR</t>
  </si>
  <si>
    <t>Jumeirah</t>
  </si>
  <si>
    <t>No</t>
  </si>
  <si>
    <t>Lifestyle brand</t>
  </si>
  <si>
    <t>Media One Hotel</t>
  </si>
  <si>
    <t>WorldHotels</t>
  </si>
  <si>
    <t>Entertainment venue</t>
  </si>
  <si>
    <t>Media Rotana</t>
  </si>
  <si>
    <t>SECONDARY</t>
  </si>
  <si>
    <t>Barsha Heights</t>
  </si>
  <si>
    <t>Rotana</t>
  </si>
  <si>
    <t>Large inventory, F&amp;B focus</t>
  </si>
  <si>
    <t>Novotel Al Barsha</t>
  </si>
  <si>
    <t>Al Barsha</t>
  </si>
  <si>
    <t>Accor</t>
  </si>
  <si>
    <t>Very close proximity</t>
  </si>
  <si>
    <t>Pullman JLT</t>
  </si>
  <si>
    <t>Serviced apartments</t>
  </si>
  <si>
    <t>DoubleTree Al Barsha</t>
  </si>
  <si>
    <t>Hilton</t>
  </si>
  <si>
    <t>CLOSED - Historical comp</t>
  </si>
  <si>
    <t>BUSINESS MIX &amp; SEGMENT ANALYSIS</t>
  </si>
  <si>
    <t>Grand Millennium Dubai - Actual Data (April 30, 2025)</t>
  </si>
  <si>
    <t>Segment</t>
  </si>
  <si>
    <t>Room Nights</t>
  </si>
  <si>
    <t>% of Total</t>
  </si>
  <si>
    <t>Avg ADR (AED)</t>
  </si>
  <si>
    <t>Key Characteristics</t>
  </si>
  <si>
    <t>Transient/OTA</t>
  </si>
  <si>
    <t>27.3%</t>
  </si>
  <si>
    <t>485</t>
  </si>
  <si>
    <t>Corporate FIT</t>
  </si>
  <si>
    <t>5.7%</t>
  </si>
  <si>
    <t>435</t>
  </si>
  <si>
    <t>Wholesale FIT</t>
  </si>
  <si>
    <t>14.0%</t>
  </si>
  <si>
    <t>298</t>
  </si>
  <si>
    <t>Groups Conv &amp; Meetings</t>
  </si>
  <si>
    <t>0.6%</t>
  </si>
  <si>
    <t>486</t>
  </si>
  <si>
    <t>Groups Leisure</t>
  </si>
  <si>
    <t>6.2%</t>
  </si>
  <si>
    <t>365</t>
  </si>
  <si>
    <t>Long Term/Contract</t>
  </si>
  <si>
    <t>19.8%</t>
  </si>
  <si>
    <t>382</t>
  </si>
  <si>
    <t>TOTAL</t>
  </si>
  <si>
    <t>100.0%</t>
  </si>
  <si>
    <t>KEY BUSINESS MIX INSIGHTS:</t>
  </si>
  <si>
    <t>• 27% Transient/OTA - Highest ADR segment (AED 485) - Focus on rate optimization</t>
  </si>
  <si>
    <t>• 20% Long-term/Contract - Unique strength from 132 apartment units</t>
  </si>
  <si>
    <t>• 14% Wholesale - Volume segment with lowest ADR (AED 298)</t>
  </si>
  <si>
    <t>• 6% Corporate FIT - Opportunity for growth vs competitors (typically 20-30%)</t>
  </si>
  <si>
    <t>• 7% Groups - Balanced convention (1%) and leisure groups (6%)</t>
  </si>
  <si>
    <t>• Strategic advantage: Apartment inventory drives stable long-stay business</t>
  </si>
  <si>
    <t>RATE COMPARISON - APRIL 1, 2026 (ESTIMATED BAR)</t>
  </si>
  <si>
    <t>Standard/Superior Room Category - Booking.com BAR</t>
  </si>
  <si>
    <t>BAR (AED)</t>
  </si>
  <si>
    <t>Rate Index</t>
  </si>
  <si>
    <t>vs GMHD</t>
  </si>
  <si>
    <t>Competitive Position</t>
  </si>
  <si>
    <t>Strategy Notes</t>
  </si>
  <si>
    <t>0</t>
  </si>
  <si>
    <t>PREMIUM</t>
  </si>
  <si>
    <t>Apartments justify premium</t>
  </si>
  <si>
    <t>-60</t>
  </si>
  <si>
    <t>COMPETITIVE</t>
  </si>
  <si>
    <t>Closest rate competitor</t>
  </si>
  <si>
    <t>-80</t>
  </si>
  <si>
    <t>Aggressive pricing</t>
  </si>
  <si>
    <t>-160</t>
  </si>
  <si>
    <t>BELOW</t>
  </si>
  <si>
    <t>4-star positioning</t>
  </si>
  <si>
    <t>-210</t>
  </si>
  <si>
    <t>Entertainment focus</t>
  </si>
  <si>
    <t>-130</t>
  </si>
  <si>
    <t>Large inventory, value</t>
  </si>
  <si>
    <t>-230</t>
  </si>
  <si>
    <t>Accor 4-star</t>
  </si>
  <si>
    <t>-100</t>
  </si>
  <si>
    <t>RATE POSITIONING STRATEGY:</t>
  </si>
  <si>
    <t>• Grand Millennium premium positioning at AED 680 - justified by apartments &amp; full service</t>
  </si>
  <si>
    <t>• Primary 5-star competitors (Radisson, voco) at 88-91% - maintain rate parity watch</t>
  </si>
  <si>
    <t>• Clear differentiation from 4-star segment (69-76% index)</t>
  </si>
  <si>
    <t>• Secondary compset: Pullman closest at 85% (also has apartments)</t>
  </si>
  <si>
    <t>• Novotel Al Barsha (0.5km away) at 66% - different market segment</t>
  </si>
  <si>
    <t>• Strategic focus: Defend rate vs Radisson &amp; voco, leverage apartments vs Pullman</t>
  </si>
  <si>
    <t>STRATEGIC RECOMMENDATIONS &amp; ACTION PLAN</t>
  </si>
  <si>
    <t>COMPSET STRUCTURE RATIONALE</t>
  </si>
  <si>
    <t>WHY REMOVE JW MARRIOTT MARQUIS:</t>
  </si>
  <si>
    <t>• Scale mismatch: 1,608 rooms vs GMHD 339 rooms (4.7x larger)</t>
  </si>
  <si>
    <t>• Different MICE tier: 10,000 sqm vs 1,028 sqm (10x larger capacity)</t>
  </si>
  <si>
    <t>• Ultra-premium positioning: Different rate band entirely</t>
  </si>
  <si>
    <t>• Limited segment overlap: Competes for mega conventions (1,000+ pax), not our core business</t>
  </si>
  <si>
    <t>SECONDARY COMPSET RATIONALE:</t>
  </si>
  <si>
    <t>• Media Rotana (537 rooms) - Strong regional brand, excellent F&amp;B, large inventory</t>
  </si>
  <si>
    <t>• Novotel Al Barsha (465 rooms) - Closest proximity (0.5km), Accor 4-star</t>
  </si>
  <si>
    <t>• Pullman JLT (354 rooms + 76 apts) - Only other property with significant apartments</t>
  </si>
  <si>
    <t>• DoubleTree Al Barsha - CLOSED but historical competitor for market context</t>
  </si>
  <si>
    <t>MONITORING PRIORITIES BY COMPSET TIER</t>
  </si>
  <si>
    <t>Hotel</t>
  </si>
  <si>
    <t>Priority</t>
  </si>
  <si>
    <t>Key Metrics</t>
  </si>
  <si>
    <t>Why Monitor</t>
  </si>
  <si>
    <t>Action Items</t>
  </si>
  <si>
    <t>Radisson Blu MC</t>
  </si>
  <si>
    <t>DAILY</t>
  </si>
  <si>
    <t>ADR, Corporate, MICE</t>
  </si>
  <si>
    <t>Closest positioning (91%)</t>
  </si>
  <si>
    <t>Daily rate shop</t>
  </si>
  <si>
    <t>voco Bonnington</t>
  </si>
  <si>
    <t>Rate, Renovation impact</t>
  </si>
  <si>
    <t>Aggressive pricing (88%)</t>
  </si>
  <si>
    <t>Monitor JLT market</t>
  </si>
  <si>
    <t>Zabeel House</t>
  </si>
  <si>
    <t>WEEKLY</t>
  </si>
  <si>
    <t>Jumeirah brand effect</t>
  </si>
  <si>
    <t>New competitor (76%)</t>
  </si>
  <si>
    <t>Track lifestyle segment</t>
  </si>
  <si>
    <t>Media One</t>
  </si>
  <si>
    <t>Events calendar</t>
  </si>
  <si>
    <t>Entertainment overlap (69%)</t>
  </si>
  <si>
    <t>Displacement strategy</t>
  </si>
  <si>
    <t>F&amp;B, Large groups</t>
  </si>
  <si>
    <t>Large inventory (537)</t>
  </si>
  <si>
    <t>MICE positioning</t>
  </si>
  <si>
    <t>Proximity impact</t>
  </si>
  <si>
    <t>Closest competitor (0.5km)</t>
  </si>
  <si>
    <t>4-star benchmark</t>
  </si>
  <si>
    <t>MONTHLY</t>
  </si>
  <si>
    <t>Apartment rates</t>
  </si>
  <si>
    <t>Serviced apts (76 units)</t>
  </si>
  <si>
    <t>Long-stay strategy</t>
  </si>
  <si>
    <t>IMMEDIATE ACTION ITEMS</t>
  </si>
  <si>
    <t>□ Update STR reporting: Primary 5 + Secondary 3 hotels (remove JW Marriott)</t>
  </si>
  <si>
    <t>□ Daily rate shopping: Radisson Blu, voco Bonnington (both PRIMARY - HIGH priority)</t>
  </si>
  <si>
    <t>□ Weekly rate monitoring: Zabeel House, Media One, Media Rotana</t>
  </si>
  <si>
    <t>□ Monthly apartment benchmarking: Pullman JLT (only direct apartments competitor)</t>
  </si>
  <si>
    <t>□ Quarterly business mix review with sales team on corporate overlap</t>
  </si>
  <si>
    <t>□ Leverage 9.1 Booking.com rating (highest in compset) in ALL marketing</t>
  </si>
  <si>
    <t>□ Emphasize 20% long-stay business mix in corporate extended-stay proposals</t>
  </si>
  <si>
    <t>□ Develop MICE packages for 100-400 pax segment (sweet spot vs competitors)</t>
  </si>
  <si>
    <t>□ Monitor Novotel Al Barsha (0.5km) for any 4-star rate aggression</t>
  </si>
  <si>
    <t>□ Track Media Rotana F&amp;B strategies (5 restaurants vs our 5)</t>
  </si>
  <si>
    <t>COMPETITIVE SET - VISUAL BENCHMARKING</t>
  </si>
  <si>
    <t>Guest Rating</t>
  </si>
  <si>
    <t>Meeting Space (sqm)</t>
  </si>
  <si>
    <t>Grand Millennium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</si>
</sst>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4"/>
      <color rgb="FF1F4E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FC000"/>
        <bgColor rgb="FFFFC000"/>
      </patternFill>
    </fill>
    <fill>
      <patternFill patternType="solid">
        <fgColor rgb="FFF4B084"/>
        <bgColor rgb="FFF4B08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/>
    <xf numFmtId="0" fontId="2" fillId="5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4" fillId="0" borderId="0" xfId="0" applyFont="1"/>
    <xf numFmtId="0" fontId="3" fillId="2" borderId="1" xfId="0" applyFont="1" applyFill="1" applyBorder="1"/>
    <xf numFmtId="0" fontId="0" fillId="6" borderId="1" xfId="0" applyFill="1" applyBorder="1"/>
    <xf numFmtId="0" fontId="0" fillId="0" borderId="1" xfId="0" applyBorder="1" applyAlignment="1">
      <alignment vertical="top" wrapText="1"/>
    </xf>
    <xf numFmtId="0" fontId="3" fillId="4" borderId="1" xfId="0" applyFont="1" applyFill="1" applyBorder="1"/>
    <xf numFmtId="0" fontId="0" fillId="0" borderId="0" xfId="0"/>
    <xf numFmtId="0" fontId="2" fillId="4" borderId="0" xfId="0" applyFont="1" applyFill="1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2" fillId="5" borderId="0" xfId="0" applyFont="1" applyFill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Guest Ratings Comparison (Booking.com)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Analysis'!$B$3</c:f>
              <c:strCache>
                <c:ptCount val="1"/>
                <c:pt idx="0">
                  <c:v>Guest Rating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Analysis'!$A$4:$A$11</c:f>
              <c:strCache>
                <c:ptCount val="8"/>
                <c:pt idx="0">
                  <c:v>Grand Millennium</c:v>
                </c:pt>
                <c:pt idx="1">
                  <c:v>Radisson Blu MC</c:v>
                </c:pt>
                <c:pt idx="2">
                  <c:v>voco Bonnington</c:v>
                </c:pt>
                <c:pt idx="3">
                  <c:v>Zabeel House</c:v>
                </c:pt>
                <c:pt idx="4">
                  <c:v>Media One</c:v>
                </c:pt>
                <c:pt idx="5">
                  <c:v>Media Rotana</c:v>
                </c:pt>
                <c:pt idx="6">
                  <c:v>Novotel Al Barsha</c:v>
                </c:pt>
                <c:pt idx="7">
                  <c:v>Pullman JLT</c:v>
                </c:pt>
              </c:strCache>
            </c:strRef>
          </c:cat>
          <c:val>
            <c:numRef>
              <c:f>'Visual Analysis'!$B$4:$B$11</c:f>
              <c:numCache>
                <c:formatCode>General</c:formatCode>
                <c:ptCount val="8"/>
                <c:pt idx="0">
                  <c:v>9.1</c:v>
                </c:pt>
                <c:pt idx="1">
                  <c:v>8.6999999999999993</c:v>
                </c:pt>
                <c:pt idx="2">
                  <c:v>8.6</c:v>
                </c:pt>
                <c:pt idx="3">
                  <c:v>8.9</c:v>
                </c:pt>
                <c:pt idx="4">
                  <c:v>8.4</c:v>
                </c:pt>
                <c:pt idx="5">
                  <c:v>8.5</c:v>
                </c:pt>
                <c:pt idx="6">
                  <c:v>8.3000000000000007</c:v>
                </c:pt>
                <c:pt idx="7">
                  <c:v>8.1999999999999993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1-4ED9-88B5-1420862D9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Hotels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Rating (out of 10)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BAR Rate Comparison - April 2026 (AED)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'Visual Analysis'!$C$3</c:f>
              <c:strCache>
                <c:ptCount val="1"/>
                <c:pt idx="0">
                  <c:v>BAR (AED)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'Visual Analysis'!$A$4:$A$11</c:f>
              <c:strCache>
                <c:ptCount val="8"/>
                <c:pt idx="0">
                  <c:v>Grand Millennium</c:v>
                </c:pt>
                <c:pt idx="1">
                  <c:v>Radisson Blu MC</c:v>
                </c:pt>
                <c:pt idx="2">
                  <c:v>voco Bonnington</c:v>
                </c:pt>
                <c:pt idx="3">
                  <c:v>Zabeel House</c:v>
                </c:pt>
                <c:pt idx="4">
                  <c:v>Media One</c:v>
                </c:pt>
                <c:pt idx="5">
                  <c:v>Media Rotana</c:v>
                </c:pt>
                <c:pt idx="6">
                  <c:v>Novotel Al Barsha</c:v>
                </c:pt>
                <c:pt idx="7">
                  <c:v>Pullman JLT</c:v>
                </c:pt>
              </c:strCache>
            </c:strRef>
          </c:cat>
          <c:val>
            <c:numRef>
              <c:f>'Visual Analysis'!$C$4:$C$11</c:f>
              <c:numCache>
                <c:formatCode>General</c:formatCode>
                <c:ptCount val="8"/>
                <c:pt idx="0">
                  <c:v>680</c:v>
                </c:pt>
                <c:pt idx="1">
                  <c:v>620</c:v>
                </c:pt>
                <c:pt idx="2">
                  <c:v>600</c:v>
                </c:pt>
                <c:pt idx="3">
                  <c:v>520</c:v>
                </c:pt>
                <c:pt idx="4">
                  <c:v>470</c:v>
                </c:pt>
                <c:pt idx="5">
                  <c:v>550</c:v>
                </c:pt>
                <c:pt idx="6">
                  <c:v>450</c:v>
                </c:pt>
                <c:pt idx="7">
                  <c:v>580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BC-47CB-A7B9-A0984F4C3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Hotels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Rate (AED)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</xdr:row>
      <xdr:rowOff>0</xdr:rowOff>
    </xdr:from>
    <xdr:ext cx="792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0</xdr:colOff>
      <xdr:row>24</xdr:row>
      <xdr:rowOff>0</xdr:rowOff>
    </xdr:from>
    <xdr:ext cx="7920000" cy="46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opLeftCell="A34" workbookViewId="0">
      <selection activeCell="M6" sqref="M6"/>
    </sheetView>
  </sheetViews>
  <sheetFormatPr defaultRowHeight="15" x14ac:dyDescent="0.25"/>
  <sheetData>
    <row r="1" spans="1:8" ht="21" x14ac:dyDescent="0.35">
      <c r="A1" s="14" t="s">
        <v>0</v>
      </c>
      <c r="B1" s="12"/>
      <c r="C1" s="12"/>
      <c r="D1" s="12"/>
      <c r="E1" s="12"/>
      <c r="F1" s="12"/>
      <c r="G1" s="12"/>
      <c r="H1" s="12"/>
    </row>
    <row r="2" spans="1:8" x14ac:dyDescent="0.25">
      <c r="A2" t="s">
        <v>1</v>
      </c>
    </row>
    <row r="3" spans="1:8" x14ac:dyDescent="0.25">
      <c r="A3" t="s">
        <v>2</v>
      </c>
    </row>
    <row r="4" spans="1:8" x14ac:dyDescent="0.25">
      <c r="A4" t="s">
        <v>3</v>
      </c>
    </row>
    <row r="6" spans="1:8" x14ac:dyDescent="0.25">
      <c r="A6" s="15" t="s">
        <v>4</v>
      </c>
      <c r="B6" s="12"/>
      <c r="C6" s="12"/>
      <c r="D6" s="12"/>
      <c r="E6" s="12"/>
      <c r="F6" s="12"/>
      <c r="G6" s="12"/>
      <c r="H6" s="12"/>
    </row>
    <row r="8" spans="1:8" x14ac:dyDescent="0.25">
      <c r="A8" s="16" t="s">
        <v>5</v>
      </c>
      <c r="B8" s="12"/>
      <c r="C8" s="12"/>
      <c r="D8" s="12"/>
      <c r="E8" s="12"/>
      <c r="F8" s="12"/>
      <c r="G8" s="12"/>
      <c r="H8" s="12"/>
    </row>
    <row r="9" spans="1:8" x14ac:dyDescent="0.25">
      <c r="A9" s="12" t="s">
        <v>6</v>
      </c>
      <c r="B9" s="12"/>
      <c r="C9" s="12"/>
      <c r="D9" s="12"/>
      <c r="E9" s="12"/>
      <c r="F9" s="12"/>
      <c r="G9" s="12"/>
      <c r="H9" s="12"/>
    </row>
    <row r="10" spans="1:8" x14ac:dyDescent="0.25">
      <c r="A10" s="12" t="s">
        <v>7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9</v>
      </c>
      <c r="B12" s="12"/>
      <c r="C12" s="12"/>
      <c r="D12" s="12"/>
      <c r="E12" s="12"/>
      <c r="F12" s="12"/>
      <c r="G12" s="12"/>
      <c r="H12" s="12"/>
    </row>
    <row r="13" spans="1:8" x14ac:dyDescent="0.25">
      <c r="A13" s="12" t="s">
        <v>10</v>
      </c>
      <c r="B13" s="12"/>
      <c r="C13" s="12"/>
      <c r="D13" s="12"/>
      <c r="E13" s="12"/>
      <c r="F13" s="12"/>
      <c r="G13" s="12"/>
      <c r="H13" s="12"/>
    </row>
    <row r="15" spans="1:8" x14ac:dyDescent="0.25">
      <c r="A15" s="13" t="s">
        <v>11</v>
      </c>
      <c r="B15" s="12"/>
      <c r="C15" s="12"/>
      <c r="D15" s="12"/>
      <c r="E15" s="12"/>
      <c r="F15" s="12"/>
      <c r="G15" s="12"/>
      <c r="H15" s="12"/>
    </row>
    <row r="16" spans="1:8" x14ac:dyDescent="0.25">
      <c r="A16" s="12" t="s">
        <v>12</v>
      </c>
      <c r="B16" s="12"/>
      <c r="C16" s="12"/>
      <c r="D16" s="12"/>
      <c r="E16" s="12"/>
      <c r="F16" s="12"/>
      <c r="G16" s="12"/>
      <c r="H16" s="12"/>
    </row>
    <row r="17" spans="1:8" x14ac:dyDescent="0.25">
      <c r="A17" s="12" t="s">
        <v>13</v>
      </c>
      <c r="B17" s="12"/>
      <c r="C17" s="12"/>
      <c r="D17" s="12"/>
      <c r="E17" s="12"/>
      <c r="F17" s="12"/>
      <c r="G17" s="12"/>
      <c r="H17" s="12"/>
    </row>
    <row r="18" spans="1:8" x14ac:dyDescent="0.25">
      <c r="A18" s="12" t="s">
        <v>14</v>
      </c>
      <c r="B18" s="12"/>
      <c r="C18" s="12"/>
      <c r="D18" s="12"/>
      <c r="E18" s="12"/>
      <c r="F18" s="12"/>
      <c r="G18" s="12"/>
      <c r="H18" s="12"/>
    </row>
    <row r="19" spans="1:8" x14ac:dyDescent="0.25">
      <c r="A19" s="12" t="s">
        <v>15</v>
      </c>
      <c r="B19" s="12"/>
      <c r="C19" s="12"/>
      <c r="D19" s="12"/>
      <c r="E19" s="12"/>
      <c r="F19" s="12"/>
      <c r="G19" s="12"/>
      <c r="H19" s="12"/>
    </row>
    <row r="22" spans="1:8" x14ac:dyDescent="0.25">
      <c r="A22" s="1" t="s">
        <v>16</v>
      </c>
    </row>
    <row r="23" spans="1:8" x14ac:dyDescent="0.25">
      <c r="A23" s="12" t="s">
        <v>17</v>
      </c>
      <c r="B23" s="12"/>
      <c r="C23" s="12"/>
      <c r="D23" s="12"/>
      <c r="E23" s="12"/>
      <c r="F23" s="12"/>
      <c r="G23" s="12"/>
      <c r="H23" s="12"/>
    </row>
    <row r="24" spans="1:8" x14ac:dyDescent="0.25">
      <c r="A24" s="12" t="s">
        <v>18</v>
      </c>
      <c r="B24" s="12"/>
      <c r="C24" s="12"/>
      <c r="D24" s="12"/>
      <c r="E24" s="12"/>
      <c r="F24" s="12"/>
      <c r="G24" s="12"/>
      <c r="H24" s="12"/>
    </row>
    <row r="25" spans="1:8" x14ac:dyDescent="0.25">
      <c r="A25" s="12" t="s">
        <v>19</v>
      </c>
      <c r="B25" s="12"/>
      <c r="C25" s="12"/>
      <c r="D25" s="12"/>
      <c r="E25" s="12"/>
      <c r="F25" s="12"/>
      <c r="G25" s="12"/>
      <c r="H25" s="12"/>
    </row>
    <row r="26" spans="1:8" x14ac:dyDescent="0.25">
      <c r="A26" s="12" t="s">
        <v>20</v>
      </c>
      <c r="B26" s="12"/>
      <c r="C26" s="12"/>
      <c r="D26" s="12"/>
      <c r="E26" s="12"/>
      <c r="F26" s="12"/>
      <c r="G26" s="12"/>
      <c r="H26" s="12"/>
    </row>
    <row r="27" spans="1:8" x14ac:dyDescent="0.25">
      <c r="A27" s="12" t="s">
        <v>21</v>
      </c>
      <c r="B27" s="12"/>
      <c r="C27" s="12"/>
      <c r="D27" s="12"/>
      <c r="E27" s="12"/>
      <c r="F27" s="12"/>
      <c r="G27" s="12"/>
      <c r="H27" s="12"/>
    </row>
    <row r="28" spans="1:8" x14ac:dyDescent="0.25">
      <c r="A28" s="12" t="s">
        <v>22</v>
      </c>
      <c r="B28" s="12"/>
      <c r="C28" s="12"/>
      <c r="D28" s="12"/>
      <c r="E28" s="12"/>
      <c r="F28" s="12"/>
      <c r="G28" s="12"/>
      <c r="H28" s="12"/>
    </row>
    <row r="31" spans="1:8" x14ac:dyDescent="0.25">
      <c r="A31" s="17" t="s">
        <v>23</v>
      </c>
      <c r="B31" s="12"/>
      <c r="C31" s="12"/>
      <c r="D31" s="12"/>
      <c r="E31" s="12"/>
      <c r="F31" s="12"/>
      <c r="G31" s="12"/>
      <c r="H31" s="12"/>
    </row>
    <row r="33" spans="1:8" x14ac:dyDescent="0.25">
      <c r="A33" s="12" t="s">
        <v>24</v>
      </c>
      <c r="B33" s="12"/>
      <c r="C33" s="12"/>
      <c r="D33" s="12"/>
      <c r="E33" s="12"/>
      <c r="F33" s="12"/>
      <c r="G33" s="12"/>
      <c r="H33" s="12"/>
    </row>
    <row r="34" spans="1:8" x14ac:dyDescent="0.25">
      <c r="A34" s="12" t="s">
        <v>25</v>
      </c>
      <c r="B34" s="12"/>
      <c r="C34" s="12"/>
      <c r="D34" s="12"/>
      <c r="E34" s="12"/>
      <c r="F34" s="12"/>
      <c r="G34" s="12"/>
      <c r="H34" s="12"/>
    </row>
    <row r="35" spans="1:8" x14ac:dyDescent="0.25">
      <c r="A35" s="12" t="s">
        <v>26</v>
      </c>
      <c r="B35" s="12"/>
      <c r="C35" s="12"/>
      <c r="D35" s="12"/>
      <c r="E35" s="12"/>
      <c r="F35" s="12"/>
      <c r="G35" s="12"/>
      <c r="H35" s="12"/>
    </row>
    <row r="36" spans="1:8" x14ac:dyDescent="0.25">
      <c r="A36" s="12" t="s">
        <v>27</v>
      </c>
      <c r="B36" s="12"/>
      <c r="C36" s="12"/>
      <c r="D36" s="12"/>
      <c r="E36" s="12"/>
      <c r="F36" s="12"/>
      <c r="G36" s="12"/>
      <c r="H36" s="12"/>
    </row>
    <row r="37" spans="1:8" x14ac:dyDescent="0.25">
      <c r="A37" s="12" t="s">
        <v>28</v>
      </c>
      <c r="B37" s="12"/>
      <c r="C37" s="12"/>
      <c r="D37" s="12"/>
      <c r="E37" s="12"/>
      <c r="F37" s="12"/>
      <c r="G37" s="12"/>
      <c r="H37" s="12"/>
    </row>
    <row r="38" spans="1:8" x14ac:dyDescent="0.25">
      <c r="A38" s="12" t="s">
        <v>29</v>
      </c>
      <c r="B38" s="12"/>
      <c r="C38" s="12"/>
      <c r="D38" s="12"/>
      <c r="E38" s="12"/>
      <c r="F38" s="12"/>
      <c r="G38" s="12"/>
      <c r="H38" s="12"/>
    </row>
    <row r="39" spans="1:8" x14ac:dyDescent="0.25">
      <c r="A39" s="12" t="s">
        <v>30</v>
      </c>
      <c r="B39" s="12"/>
      <c r="C39" s="12"/>
      <c r="D39" s="12"/>
      <c r="E39" s="12"/>
      <c r="F39" s="12"/>
      <c r="G39" s="12"/>
      <c r="H39" s="12"/>
    </row>
    <row r="40" spans="1:8" x14ac:dyDescent="0.25">
      <c r="A40" s="12" t="s">
        <v>31</v>
      </c>
      <c r="B40" s="12"/>
      <c r="C40" s="12"/>
      <c r="D40" s="12"/>
      <c r="E40" s="12"/>
      <c r="F40" s="12"/>
      <c r="G40" s="12"/>
      <c r="H40" s="12"/>
    </row>
    <row r="41" spans="1:8" x14ac:dyDescent="0.25">
      <c r="A41" s="12" t="s">
        <v>32</v>
      </c>
      <c r="B41" s="12"/>
      <c r="C41" s="12"/>
      <c r="D41" s="12"/>
      <c r="E41" s="12"/>
      <c r="F41" s="12"/>
      <c r="G41" s="12"/>
      <c r="H41" s="12"/>
    </row>
  </sheetData>
  <mergeCells count="29">
    <mergeCell ref="A1:H1"/>
    <mergeCell ref="A6:H6"/>
    <mergeCell ref="A25:H25"/>
    <mergeCell ref="A16:H16"/>
    <mergeCell ref="A41:H41"/>
    <mergeCell ref="A37:H37"/>
    <mergeCell ref="A27:H27"/>
    <mergeCell ref="A12:H12"/>
    <mergeCell ref="A18:H18"/>
    <mergeCell ref="A26:H26"/>
    <mergeCell ref="A33:H33"/>
    <mergeCell ref="A23:H23"/>
    <mergeCell ref="A8:H8"/>
    <mergeCell ref="A17:H17"/>
    <mergeCell ref="A40:H40"/>
    <mergeCell ref="A35:H35"/>
    <mergeCell ref="A9:H9"/>
    <mergeCell ref="A39:H39"/>
    <mergeCell ref="A15:H15"/>
    <mergeCell ref="A24:H24"/>
    <mergeCell ref="A36:H36"/>
    <mergeCell ref="A11:H11"/>
    <mergeCell ref="A38:H38"/>
    <mergeCell ref="A10:H10"/>
    <mergeCell ref="A28:H28"/>
    <mergeCell ref="A13:H13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>
      <selection activeCell="A6" sqref="A6"/>
    </sheetView>
  </sheetViews>
  <sheetFormatPr defaultRowHeight="15" x14ac:dyDescent="0.25"/>
  <cols>
    <col min="1" max="1" width="25" customWidth="1"/>
    <col min="2" max="2" width="12" customWidth="1"/>
    <col min="3" max="3" width="7" customWidth="1"/>
    <col min="4" max="5" width="8" customWidth="1"/>
    <col min="6" max="6" width="10" customWidth="1"/>
    <col min="7" max="7" width="20" customWidth="1"/>
    <col min="8" max="8" width="13" customWidth="1"/>
    <col min="9" max="10" width="10" customWidth="1"/>
    <col min="11" max="12" width="12" customWidth="1"/>
    <col min="13" max="13" width="15" customWidth="1"/>
    <col min="14" max="16" width="12" customWidth="1"/>
    <col min="17" max="17" width="30" customWidth="1"/>
  </cols>
  <sheetData>
    <row r="1" spans="1:17" ht="21" x14ac:dyDescent="0.35">
      <c r="A1" s="14" t="s">
        <v>33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3" spans="1:17" ht="30" x14ac:dyDescent="0.25">
      <c r="A3" s="2" t="s">
        <v>34</v>
      </c>
      <c r="B3" s="2" t="s">
        <v>35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 t="s">
        <v>47</v>
      </c>
      <c r="O3" s="2" t="s">
        <v>48</v>
      </c>
      <c r="P3" s="2" t="s">
        <v>49</v>
      </c>
      <c r="Q3" s="2" t="s">
        <v>50</v>
      </c>
    </row>
    <row r="4" spans="1:17" x14ac:dyDescent="0.25">
      <c r="A4" s="3" t="s">
        <v>51</v>
      </c>
      <c r="B4" s="4" t="s">
        <v>52</v>
      </c>
      <c r="C4" s="3">
        <v>5</v>
      </c>
      <c r="D4" s="3">
        <v>339</v>
      </c>
      <c r="E4" s="3">
        <v>132</v>
      </c>
      <c r="F4" s="3">
        <v>0</v>
      </c>
      <c r="G4" s="3" t="s">
        <v>53</v>
      </c>
      <c r="H4" s="3">
        <v>1028</v>
      </c>
      <c r="I4" s="3">
        <v>400</v>
      </c>
      <c r="J4" s="3">
        <v>7</v>
      </c>
      <c r="K4" s="3">
        <v>9.1</v>
      </c>
      <c r="L4" s="3">
        <v>4</v>
      </c>
      <c r="M4" s="3" t="s">
        <v>54</v>
      </c>
      <c r="N4" s="3" t="s">
        <v>55</v>
      </c>
      <c r="O4" s="3">
        <v>5</v>
      </c>
      <c r="P4" s="3">
        <v>680</v>
      </c>
      <c r="Q4" s="3" t="s">
        <v>56</v>
      </c>
    </row>
    <row r="5" spans="1:17" x14ac:dyDescent="0.25">
      <c r="A5" s="3" t="s">
        <v>57</v>
      </c>
      <c r="B5" s="5" t="s">
        <v>58</v>
      </c>
      <c r="C5" s="3">
        <v>5</v>
      </c>
      <c r="D5" s="3">
        <v>246</v>
      </c>
      <c r="E5" s="3">
        <v>0</v>
      </c>
      <c r="F5" s="3">
        <v>2.1</v>
      </c>
      <c r="G5" s="3" t="s">
        <v>59</v>
      </c>
      <c r="H5" s="3">
        <v>850</v>
      </c>
      <c r="I5" s="3">
        <v>150</v>
      </c>
      <c r="J5" s="3">
        <v>12</v>
      </c>
      <c r="K5" s="3">
        <v>8.6999999999999993</v>
      </c>
      <c r="L5" s="3">
        <v>4</v>
      </c>
      <c r="M5" s="3" t="s">
        <v>60</v>
      </c>
      <c r="N5" s="3" t="s">
        <v>55</v>
      </c>
      <c r="O5" s="3">
        <v>4</v>
      </c>
      <c r="P5" s="3">
        <v>620</v>
      </c>
      <c r="Q5" s="3" t="s">
        <v>61</v>
      </c>
    </row>
    <row r="6" spans="1:17" x14ac:dyDescent="0.25">
      <c r="A6" s="3" t="s">
        <v>62</v>
      </c>
      <c r="B6" s="5" t="s">
        <v>58</v>
      </c>
      <c r="C6" s="3">
        <v>5</v>
      </c>
      <c r="D6" s="3">
        <v>208</v>
      </c>
      <c r="E6" s="3">
        <v>0</v>
      </c>
      <c r="F6" s="3">
        <v>3.5</v>
      </c>
      <c r="G6" s="3" t="s">
        <v>63</v>
      </c>
      <c r="H6" s="3">
        <v>640</v>
      </c>
      <c r="I6" s="3">
        <v>120</v>
      </c>
      <c r="J6" s="3">
        <v>6</v>
      </c>
      <c r="K6" s="3">
        <v>8.6</v>
      </c>
      <c r="L6" s="3">
        <v>4.5</v>
      </c>
      <c r="M6" s="3" t="s">
        <v>64</v>
      </c>
      <c r="N6" s="3" t="s">
        <v>55</v>
      </c>
      <c r="O6" s="3">
        <v>3</v>
      </c>
      <c r="P6" s="3">
        <v>600</v>
      </c>
      <c r="Q6" s="3" t="s">
        <v>65</v>
      </c>
    </row>
    <row r="7" spans="1:17" x14ac:dyDescent="0.25">
      <c r="A7" s="3" t="s">
        <v>66</v>
      </c>
      <c r="B7" s="5" t="s">
        <v>58</v>
      </c>
      <c r="C7" s="3">
        <v>4</v>
      </c>
      <c r="D7" s="3">
        <v>210</v>
      </c>
      <c r="E7" s="3">
        <v>0</v>
      </c>
      <c r="F7" s="3">
        <v>4.2</v>
      </c>
      <c r="G7" s="3" t="s">
        <v>67</v>
      </c>
      <c r="H7" s="3">
        <v>400</v>
      </c>
      <c r="I7" s="3">
        <v>200</v>
      </c>
      <c r="J7" s="3">
        <v>4</v>
      </c>
      <c r="K7" s="3">
        <v>8.9</v>
      </c>
      <c r="L7" s="3">
        <v>4.5</v>
      </c>
      <c r="M7" s="3" t="s">
        <v>68</v>
      </c>
      <c r="N7" s="3" t="s">
        <v>69</v>
      </c>
      <c r="O7" s="3">
        <v>2</v>
      </c>
      <c r="P7" s="3">
        <v>520</v>
      </c>
      <c r="Q7" s="3" t="s">
        <v>70</v>
      </c>
    </row>
    <row r="8" spans="1:17" x14ac:dyDescent="0.25">
      <c r="A8" s="3" t="s">
        <v>71</v>
      </c>
      <c r="B8" s="5" t="s">
        <v>58</v>
      </c>
      <c r="C8" s="3">
        <v>4</v>
      </c>
      <c r="D8" s="3">
        <v>264</v>
      </c>
      <c r="E8" s="3">
        <v>0</v>
      </c>
      <c r="F8" s="3">
        <v>2</v>
      </c>
      <c r="G8" s="3" t="s">
        <v>59</v>
      </c>
      <c r="H8" s="3">
        <v>701</v>
      </c>
      <c r="I8" s="3">
        <v>100</v>
      </c>
      <c r="J8" s="3">
        <v>10</v>
      </c>
      <c r="K8" s="3">
        <v>8.4</v>
      </c>
      <c r="L8" s="3">
        <v>4</v>
      </c>
      <c r="M8" s="3" t="s">
        <v>72</v>
      </c>
      <c r="N8" s="3" t="s">
        <v>69</v>
      </c>
      <c r="O8" s="3">
        <v>4</v>
      </c>
      <c r="P8" s="3">
        <v>470</v>
      </c>
      <c r="Q8" s="3" t="s">
        <v>73</v>
      </c>
    </row>
    <row r="9" spans="1:17" x14ac:dyDescent="0.25">
      <c r="A9" s="3" t="s">
        <v>74</v>
      </c>
      <c r="B9" s="6" t="s">
        <v>75</v>
      </c>
      <c r="C9" s="3">
        <v>5</v>
      </c>
      <c r="D9" s="3">
        <v>537</v>
      </c>
      <c r="E9" s="3">
        <v>0</v>
      </c>
      <c r="F9" s="3">
        <v>1.8</v>
      </c>
      <c r="G9" s="3" t="s">
        <v>76</v>
      </c>
      <c r="H9" s="3">
        <v>1254</v>
      </c>
      <c r="I9" s="3">
        <v>305</v>
      </c>
      <c r="J9" s="3">
        <v>16</v>
      </c>
      <c r="K9" s="3">
        <v>8.5</v>
      </c>
      <c r="L9" s="3">
        <v>4</v>
      </c>
      <c r="M9" s="3" t="s">
        <v>77</v>
      </c>
      <c r="N9" s="3" t="s">
        <v>55</v>
      </c>
      <c r="O9" s="3">
        <v>5</v>
      </c>
      <c r="P9" s="3">
        <v>550</v>
      </c>
      <c r="Q9" s="3" t="s">
        <v>78</v>
      </c>
    </row>
    <row r="10" spans="1:17" x14ac:dyDescent="0.25">
      <c r="A10" s="3" t="s">
        <v>79</v>
      </c>
      <c r="B10" s="6" t="s">
        <v>75</v>
      </c>
      <c r="C10" s="3">
        <v>4</v>
      </c>
      <c r="D10" s="3">
        <v>465</v>
      </c>
      <c r="E10" s="3">
        <v>0</v>
      </c>
      <c r="F10" s="3">
        <v>0.5</v>
      </c>
      <c r="G10" s="3" t="s">
        <v>80</v>
      </c>
      <c r="H10" s="3">
        <v>869</v>
      </c>
      <c r="I10" s="3">
        <v>250</v>
      </c>
      <c r="J10" s="3">
        <v>10</v>
      </c>
      <c r="K10" s="3">
        <v>8.3000000000000007</v>
      </c>
      <c r="L10" s="3">
        <v>4</v>
      </c>
      <c r="M10" s="3" t="s">
        <v>81</v>
      </c>
      <c r="N10" s="3" t="s">
        <v>69</v>
      </c>
      <c r="O10" s="3">
        <v>3</v>
      </c>
      <c r="P10" s="3">
        <v>450</v>
      </c>
      <c r="Q10" s="3" t="s">
        <v>82</v>
      </c>
    </row>
    <row r="11" spans="1:17" x14ac:dyDescent="0.25">
      <c r="A11" s="3" t="s">
        <v>83</v>
      </c>
      <c r="B11" s="6" t="s">
        <v>75</v>
      </c>
      <c r="C11" s="3">
        <v>5</v>
      </c>
      <c r="D11" s="3">
        <v>354</v>
      </c>
      <c r="E11" s="3">
        <v>76</v>
      </c>
      <c r="F11" s="3">
        <v>3.8</v>
      </c>
      <c r="G11" s="3" t="s">
        <v>63</v>
      </c>
      <c r="H11" s="3">
        <v>550</v>
      </c>
      <c r="I11" s="3">
        <v>120</v>
      </c>
      <c r="J11" s="3">
        <v>11</v>
      </c>
      <c r="K11" s="3">
        <v>8.1999999999999993</v>
      </c>
      <c r="L11" s="3">
        <v>4</v>
      </c>
      <c r="M11" s="3" t="s">
        <v>81</v>
      </c>
      <c r="N11" s="3" t="s">
        <v>55</v>
      </c>
      <c r="O11" s="3">
        <v>3</v>
      </c>
      <c r="P11" s="3">
        <v>580</v>
      </c>
      <c r="Q11" s="3" t="s">
        <v>84</v>
      </c>
    </row>
    <row r="12" spans="1:17" x14ac:dyDescent="0.25">
      <c r="A12" s="3" t="s">
        <v>85</v>
      </c>
      <c r="B12" s="6" t="s">
        <v>75</v>
      </c>
      <c r="C12" s="3">
        <v>4</v>
      </c>
      <c r="D12" s="3">
        <v>0</v>
      </c>
      <c r="E12" s="3">
        <v>0</v>
      </c>
      <c r="F12" s="3">
        <v>0.8</v>
      </c>
      <c r="G12" s="3" t="s">
        <v>80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 t="s">
        <v>86</v>
      </c>
      <c r="N12" s="3" t="s">
        <v>69</v>
      </c>
      <c r="O12" s="3">
        <v>0</v>
      </c>
      <c r="P12" s="3">
        <v>0</v>
      </c>
      <c r="Q12" s="3" t="s">
        <v>87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workbookViewId="0">
      <selection activeCell="A15" sqref="A15:K15"/>
    </sheetView>
  </sheetViews>
  <sheetFormatPr defaultRowHeight="15" x14ac:dyDescent="0.25"/>
  <cols>
    <col min="1" max="1" width="28" customWidth="1"/>
    <col min="2" max="2" width="15" customWidth="1"/>
    <col min="3" max="3" width="12" customWidth="1"/>
    <col min="4" max="4" width="15" customWidth="1"/>
    <col min="5" max="5" width="40" customWidth="1"/>
  </cols>
  <sheetData>
    <row r="1" spans="1:11" ht="18.75" x14ac:dyDescent="0.3">
      <c r="A1" s="18" t="s">
        <v>88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spans="1:11" x14ac:dyDescent="0.25">
      <c r="A2" s="12" t="s">
        <v>89</v>
      </c>
      <c r="B2" s="12"/>
      <c r="C2" s="12"/>
      <c r="D2" s="12"/>
      <c r="E2" s="12"/>
      <c r="F2" s="12"/>
      <c r="G2" s="12"/>
      <c r="H2" s="12"/>
      <c r="I2" s="12"/>
      <c r="J2" s="12"/>
      <c r="K2" s="12"/>
    </row>
    <row r="4" spans="1:11" x14ac:dyDescent="0.25">
      <c r="A4" s="8" t="s">
        <v>90</v>
      </c>
      <c r="B4" s="8" t="s">
        <v>91</v>
      </c>
      <c r="C4" s="8" t="s">
        <v>92</v>
      </c>
      <c r="D4" s="8" t="s">
        <v>93</v>
      </c>
      <c r="E4" s="8" t="s">
        <v>94</v>
      </c>
    </row>
    <row r="5" spans="1:11" x14ac:dyDescent="0.25">
      <c r="A5" s="3" t="s">
        <v>95</v>
      </c>
      <c r="B5" s="3">
        <v>1977</v>
      </c>
      <c r="C5" s="3" t="s">
        <v>96</v>
      </c>
      <c r="D5" s="3" t="s">
        <v>97</v>
      </c>
      <c r="E5" s="3"/>
    </row>
    <row r="6" spans="1:11" x14ac:dyDescent="0.25">
      <c r="A6" s="3" t="s">
        <v>98</v>
      </c>
      <c r="B6" s="3">
        <v>414</v>
      </c>
      <c r="C6" s="3" t="s">
        <v>99</v>
      </c>
      <c r="D6" s="3" t="s">
        <v>100</v>
      </c>
      <c r="E6" s="3"/>
    </row>
    <row r="7" spans="1:11" x14ac:dyDescent="0.25">
      <c r="A7" s="3" t="s">
        <v>101</v>
      </c>
      <c r="B7" s="3">
        <v>1015</v>
      </c>
      <c r="C7" s="3" t="s">
        <v>102</v>
      </c>
      <c r="D7" s="3" t="s">
        <v>103</v>
      </c>
      <c r="E7" s="3"/>
    </row>
    <row r="8" spans="1:11" x14ac:dyDescent="0.25">
      <c r="A8" s="3" t="s">
        <v>104</v>
      </c>
      <c r="B8" s="3">
        <v>41</v>
      </c>
      <c r="C8" s="3" t="s">
        <v>105</v>
      </c>
      <c r="D8" s="3" t="s">
        <v>106</v>
      </c>
      <c r="E8" s="3"/>
    </row>
    <row r="9" spans="1:11" x14ac:dyDescent="0.25">
      <c r="A9" s="3" t="s">
        <v>107</v>
      </c>
      <c r="B9" s="3">
        <v>450</v>
      </c>
      <c r="C9" s="3" t="s">
        <v>108</v>
      </c>
      <c r="D9" s="3" t="s">
        <v>109</v>
      </c>
      <c r="E9" s="3"/>
    </row>
    <row r="10" spans="1:11" x14ac:dyDescent="0.25">
      <c r="A10" s="3" t="s">
        <v>110</v>
      </c>
      <c r="B10" s="3">
        <v>1436</v>
      </c>
      <c r="C10" s="3" t="s">
        <v>111</v>
      </c>
      <c r="D10" s="3" t="s">
        <v>112</v>
      </c>
      <c r="E10" s="3"/>
    </row>
    <row r="11" spans="1:11" x14ac:dyDescent="0.25">
      <c r="A11" s="1" t="s">
        <v>113</v>
      </c>
      <c r="B11" s="1">
        <v>7253</v>
      </c>
      <c r="C11" s="1" t="s">
        <v>114</v>
      </c>
    </row>
    <row r="14" spans="1:11" x14ac:dyDescent="0.25">
      <c r="A14" s="1" t="s">
        <v>115</v>
      </c>
    </row>
    <row r="15" spans="1:11" x14ac:dyDescent="0.25">
      <c r="A15" s="12" t="s">
        <v>116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 x14ac:dyDescent="0.25">
      <c r="A16" s="12" t="s">
        <v>117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</row>
    <row r="17" spans="1:11" x14ac:dyDescent="0.25">
      <c r="A17" s="12" t="s">
        <v>118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12" t="s">
        <v>119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12" t="s">
        <v>120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12" t="s">
        <v>121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</row>
  </sheetData>
  <mergeCells count="8">
    <mergeCell ref="A1:K1"/>
    <mergeCell ref="A17:K17"/>
    <mergeCell ref="A18:K18"/>
    <mergeCell ref="A20:K20"/>
    <mergeCell ref="A15:K15"/>
    <mergeCell ref="A2:K2"/>
    <mergeCell ref="A16:K16"/>
    <mergeCell ref="A19:K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tabSelected="1" workbookViewId="0">
      <selection activeCell="P4" sqref="P4"/>
    </sheetView>
  </sheetViews>
  <sheetFormatPr defaultRowHeight="15" x14ac:dyDescent="0.25"/>
  <cols>
    <col min="1" max="1" width="28" customWidth="1"/>
    <col min="2" max="2" width="12" customWidth="1"/>
    <col min="3" max="3" width="7" customWidth="1"/>
    <col min="4" max="6" width="12" customWidth="1"/>
    <col min="7" max="7" width="18" customWidth="1"/>
    <col min="8" max="8" width="35" customWidth="1"/>
  </cols>
  <sheetData>
    <row r="1" spans="1:8" ht="18.75" x14ac:dyDescent="0.3">
      <c r="A1" s="18" t="s">
        <v>122</v>
      </c>
      <c r="B1" s="12"/>
      <c r="C1" s="12"/>
      <c r="D1" s="12"/>
      <c r="E1" s="12"/>
      <c r="F1" s="12"/>
      <c r="G1" s="12"/>
      <c r="H1" s="12"/>
    </row>
    <row r="2" spans="1:8" x14ac:dyDescent="0.25">
      <c r="A2" s="12" t="s">
        <v>123</v>
      </c>
      <c r="B2" s="12"/>
      <c r="C2" s="12"/>
      <c r="D2" s="12"/>
      <c r="E2" s="12"/>
      <c r="F2" s="12"/>
      <c r="G2" s="12"/>
      <c r="H2" s="12"/>
    </row>
    <row r="4" spans="1:8" ht="30" x14ac:dyDescent="0.25">
      <c r="A4" s="2" t="s">
        <v>34</v>
      </c>
      <c r="B4" s="2" t="s">
        <v>35</v>
      </c>
      <c r="C4" s="2" t="s">
        <v>36</v>
      </c>
      <c r="D4" s="2" t="s">
        <v>124</v>
      </c>
      <c r="E4" s="2" t="s">
        <v>125</v>
      </c>
      <c r="F4" s="2" t="s">
        <v>126</v>
      </c>
      <c r="G4" s="2" t="s">
        <v>127</v>
      </c>
      <c r="H4" s="2" t="s">
        <v>128</v>
      </c>
    </row>
    <row r="5" spans="1:8" x14ac:dyDescent="0.25">
      <c r="A5" s="3" t="s">
        <v>51</v>
      </c>
      <c r="B5" s="3" t="s">
        <v>52</v>
      </c>
      <c r="C5" s="3">
        <v>5</v>
      </c>
      <c r="D5" s="3">
        <v>680</v>
      </c>
      <c r="E5" s="4">
        <v>100</v>
      </c>
      <c r="F5" s="3" t="s">
        <v>129</v>
      </c>
      <c r="G5" s="3" t="s">
        <v>130</v>
      </c>
      <c r="H5" s="3" t="s">
        <v>131</v>
      </c>
    </row>
    <row r="6" spans="1:8" x14ac:dyDescent="0.25">
      <c r="A6" s="3" t="s">
        <v>57</v>
      </c>
      <c r="B6" s="3" t="s">
        <v>58</v>
      </c>
      <c r="C6" s="3">
        <v>5</v>
      </c>
      <c r="D6" s="3">
        <v>620</v>
      </c>
      <c r="E6" s="5">
        <v>91</v>
      </c>
      <c r="F6" s="3" t="s">
        <v>132</v>
      </c>
      <c r="G6" s="3" t="s">
        <v>133</v>
      </c>
      <c r="H6" s="3" t="s">
        <v>134</v>
      </c>
    </row>
    <row r="7" spans="1:8" x14ac:dyDescent="0.25">
      <c r="A7" s="3" t="s">
        <v>62</v>
      </c>
      <c r="B7" s="3" t="s">
        <v>58</v>
      </c>
      <c r="C7" s="3">
        <v>5</v>
      </c>
      <c r="D7" s="3">
        <v>600</v>
      </c>
      <c r="E7" s="5">
        <v>88</v>
      </c>
      <c r="F7" s="3" t="s">
        <v>135</v>
      </c>
      <c r="G7" s="3" t="s">
        <v>133</v>
      </c>
      <c r="H7" s="3" t="s">
        <v>136</v>
      </c>
    </row>
    <row r="8" spans="1:8" x14ac:dyDescent="0.25">
      <c r="A8" s="3" t="s">
        <v>66</v>
      </c>
      <c r="B8" s="3" t="s">
        <v>58</v>
      </c>
      <c r="C8" s="3">
        <v>4</v>
      </c>
      <c r="D8" s="3">
        <v>520</v>
      </c>
      <c r="E8" s="3">
        <v>76</v>
      </c>
      <c r="F8" s="3" t="s">
        <v>137</v>
      </c>
      <c r="G8" s="3" t="s">
        <v>138</v>
      </c>
      <c r="H8" s="3" t="s">
        <v>139</v>
      </c>
    </row>
    <row r="9" spans="1:8" x14ac:dyDescent="0.25">
      <c r="A9" s="3" t="s">
        <v>71</v>
      </c>
      <c r="B9" s="3" t="s">
        <v>58</v>
      </c>
      <c r="C9" s="3">
        <v>4</v>
      </c>
      <c r="D9" s="3">
        <v>470</v>
      </c>
      <c r="E9" s="9">
        <v>69</v>
      </c>
      <c r="F9" s="3" t="s">
        <v>140</v>
      </c>
      <c r="G9" s="3" t="s">
        <v>138</v>
      </c>
      <c r="H9" s="3" t="s">
        <v>141</v>
      </c>
    </row>
    <row r="10" spans="1:8" x14ac:dyDescent="0.25">
      <c r="A10" s="3" t="s">
        <v>74</v>
      </c>
      <c r="B10" s="3" t="s">
        <v>75</v>
      </c>
      <c r="C10" s="3">
        <v>5</v>
      </c>
      <c r="D10" s="3">
        <v>550</v>
      </c>
      <c r="E10" s="3">
        <v>81</v>
      </c>
      <c r="F10" s="3" t="s">
        <v>142</v>
      </c>
      <c r="G10" s="3" t="s">
        <v>133</v>
      </c>
      <c r="H10" s="3" t="s">
        <v>143</v>
      </c>
    </row>
    <row r="11" spans="1:8" x14ac:dyDescent="0.25">
      <c r="A11" s="3" t="s">
        <v>79</v>
      </c>
      <c r="B11" s="3" t="s">
        <v>75</v>
      </c>
      <c r="C11" s="3">
        <v>4</v>
      </c>
      <c r="D11" s="3">
        <v>450</v>
      </c>
      <c r="E11" s="9">
        <v>66</v>
      </c>
      <c r="F11" s="3" t="s">
        <v>144</v>
      </c>
      <c r="G11" s="3" t="s">
        <v>138</v>
      </c>
      <c r="H11" s="3" t="s">
        <v>145</v>
      </c>
    </row>
    <row r="12" spans="1:8" x14ac:dyDescent="0.25">
      <c r="A12" s="3" t="s">
        <v>83</v>
      </c>
      <c r="B12" s="3" t="s">
        <v>75</v>
      </c>
      <c r="C12" s="3">
        <v>5</v>
      </c>
      <c r="D12" s="3">
        <v>580</v>
      </c>
      <c r="E12" s="5">
        <v>85</v>
      </c>
      <c r="F12" s="3" t="s">
        <v>146</v>
      </c>
      <c r="G12" s="3" t="s">
        <v>133</v>
      </c>
      <c r="H12" s="3" t="s">
        <v>84</v>
      </c>
    </row>
    <row r="15" spans="1:8" x14ac:dyDescent="0.25">
      <c r="A15" s="1" t="s">
        <v>147</v>
      </c>
    </row>
    <row r="16" spans="1:8" x14ac:dyDescent="0.25">
      <c r="A16" s="12" t="s">
        <v>148</v>
      </c>
      <c r="B16" s="12"/>
      <c r="C16" s="12"/>
      <c r="D16" s="12"/>
      <c r="E16" s="12"/>
      <c r="F16" s="12"/>
      <c r="G16" s="12"/>
      <c r="H16" s="12"/>
    </row>
    <row r="17" spans="1:8" x14ac:dyDescent="0.25">
      <c r="A17" s="12" t="s">
        <v>149</v>
      </c>
      <c r="B17" s="12"/>
      <c r="C17" s="12"/>
      <c r="D17" s="12"/>
      <c r="E17" s="12"/>
      <c r="F17" s="12"/>
      <c r="G17" s="12"/>
      <c r="H17" s="12"/>
    </row>
    <row r="18" spans="1:8" x14ac:dyDescent="0.25">
      <c r="A18" s="12" t="s">
        <v>150</v>
      </c>
      <c r="B18" s="12"/>
      <c r="C18" s="12"/>
      <c r="D18" s="12"/>
      <c r="E18" s="12"/>
      <c r="F18" s="12"/>
      <c r="G18" s="12"/>
      <c r="H18" s="12"/>
    </row>
    <row r="19" spans="1:8" x14ac:dyDescent="0.25">
      <c r="A19" s="12" t="s">
        <v>151</v>
      </c>
      <c r="B19" s="12"/>
      <c r="C19" s="12"/>
      <c r="D19" s="12"/>
      <c r="E19" s="12"/>
      <c r="F19" s="12"/>
      <c r="G19" s="12"/>
      <c r="H19" s="12"/>
    </row>
    <row r="20" spans="1:8" x14ac:dyDescent="0.25">
      <c r="A20" s="12" t="s">
        <v>152</v>
      </c>
      <c r="B20" s="12"/>
      <c r="C20" s="12"/>
      <c r="D20" s="12"/>
      <c r="E20" s="12"/>
      <c r="F20" s="12"/>
      <c r="G20" s="12"/>
      <c r="H20" s="12"/>
    </row>
    <row r="21" spans="1:8" x14ac:dyDescent="0.25">
      <c r="A21" s="12" t="s">
        <v>153</v>
      </c>
      <c r="B21" s="12"/>
      <c r="C21" s="12"/>
      <c r="D21" s="12"/>
      <c r="E21" s="12"/>
      <c r="F21" s="12"/>
      <c r="G21" s="12"/>
      <c r="H21" s="12"/>
    </row>
  </sheetData>
  <mergeCells count="8">
    <mergeCell ref="A1:H1"/>
    <mergeCell ref="A17:H17"/>
    <mergeCell ref="A18:H18"/>
    <mergeCell ref="A21:H21"/>
    <mergeCell ref="A20:H20"/>
    <mergeCell ref="A16:H16"/>
    <mergeCell ref="A2:H2"/>
    <mergeCell ref="A19:H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2"/>
  <sheetViews>
    <sheetView workbookViewId="0">
      <selection activeCell="A36" sqref="A36:F36"/>
    </sheetView>
  </sheetViews>
  <sheetFormatPr defaultRowHeight="15" x14ac:dyDescent="0.25"/>
  <cols>
    <col min="1" max="1" width="22" customWidth="1"/>
    <col min="2" max="2" width="12" customWidth="1"/>
    <col min="3" max="3" width="20" customWidth="1"/>
    <col min="4" max="5" width="25" customWidth="1"/>
  </cols>
  <sheetData>
    <row r="1" spans="1:6" ht="18.75" x14ac:dyDescent="0.3">
      <c r="A1" s="18" t="s">
        <v>154</v>
      </c>
      <c r="B1" s="12"/>
      <c r="C1" s="12"/>
      <c r="D1" s="12"/>
      <c r="E1" s="12"/>
      <c r="F1" s="12"/>
    </row>
    <row r="3" spans="1:6" x14ac:dyDescent="0.25">
      <c r="A3" s="15" t="s">
        <v>155</v>
      </c>
      <c r="B3" s="12"/>
      <c r="C3" s="12"/>
      <c r="D3" s="12"/>
      <c r="E3" s="12"/>
      <c r="F3" s="12"/>
    </row>
    <row r="5" spans="1:6" x14ac:dyDescent="0.25">
      <c r="A5" s="19" t="s">
        <v>156</v>
      </c>
      <c r="B5" s="12"/>
      <c r="C5" s="12"/>
      <c r="D5" s="12"/>
      <c r="E5" s="12"/>
      <c r="F5" s="12"/>
    </row>
    <row r="6" spans="1:6" x14ac:dyDescent="0.25">
      <c r="A6" s="12" t="s">
        <v>157</v>
      </c>
      <c r="B6" s="12"/>
      <c r="C6" s="12"/>
      <c r="D6" s="12"/>
      <c r="E6" s="12"/>
      <c r="F6" s="12"/>
    </row>
    <row r="7" spans="1:6" x14ac:dyDescent="0.25">
      <c r="A7" s="12" t="s">
        <v>158</v>
      </c>
      <c r="B7" s="12"/>
      <c r="C7" s="12"/>
      <c r="D7" s="12"/>
      <c r="E7" s="12"/>
      <c r="F7" s="12"/>
    </row>
    <row r="8" spans="1:6" x14ac:dyDescent="0.25">
      <c r="A8" s="12" t="s">
        <v>159</v>
      </c>
      <c r="B8" s="12"/>
      <c r="C8" s="12"/>
      <c r="D8" s="12"/>
      <c r="E8" s="12"/>
      <c r="F8" s="12"/>
    </row>
    <row r="9" spans="1:6" x14ac:dyDescent="0.25">
      <c r="A9" s="12" t="s">
        <v>160</v>
      </c>
      <c r="B9" s="12"/>
      <c r="C9" s="12"/>
      <c r="D9" s="12"/>
      <c r="E9" s="12"/>
      <c r="F9" s="12"/>
    </row>
    <row r="10" spans="1:6" x14ac:dyDescent="0.25">
      <c r="A10" s="12"/>
      <c r="B10" s="12"/>
      <c r="C10" s="12"/>
      <c r="D10" s="12"/>
      <c r="E10" s="12"/>
      <c r="F10" s="12"/>
    </row>
    <row r="11" spans="1:6" x14ac:dyDescent="0.25">
      <c r="A11" s="19" t="s">
        <v>161</v>
      </c>
      <c r="B11" s="12"/>
      <c r="C11" s="12"/>
      <c r="D11" s="12"/>
      <c r="E11" s="12"/>
      <c r="F11" s="12"/>
    </row>
    <row r="12" spans="1:6" x14ac:dyDescent="0.25">
      <c r="A12" s="12" t="s">
        <v>162</v>
      </c>
      <c r="B12" s="12"/>
      <c r="C12" s="12"/>
      <c r="D12" s="12"/>
      <c r="E12" s="12"/>
      <c r="F12" s="12"/>
    </row>
    <row r="13" spans="1:6" x14ac:dyDescent="0.25">
      <c r="A13" s="12" t="s">
        <v>163</v>
      </c>
      <c r="B13" s="12"/>
      <c r="C13" s="12"/>
      <c r="D13" s="12"/>
      <c r="E13" s="12"/>
      <c r="F13" s="12"/>
    </row>
    <row r="14" spans="1:6" x14ac:dyDescent="0.25">
      <c r="A14" s="12" t="s">
        <v>164</v>
      </c>
      <c r="B14" s="12"/>
      <c r="C14" s="12"/>
      <c r="D14" s="12"/>
      <c r="E14" s="12"/>
      <c r="F14" s="12"/>
    </row>
    <row r="15" spans="1:6" x14ac:dyDescent="0.25">
      <c r="A15" s="12" t="s">
        <v>165</v>
      </c>
      <c r="B15" s="12"/>
      <c r="C15" s="12"/>
      <c r="D15" s="12"/>
      <c r="E15" s="12"/>
      <c r="F15" s="12"/>
    </row>
    <row r="18" spans="1:6" x14ac:dyDescent="0.25">
      <c r="A18" s="16" t="s">
        <v>166</v>
      </c>
      <c r="B18" s="12"/>
      <c r="C18" s="12"/>
      <c r="D18" s="12"/>
      <c r="E18" s="12"/>
      <c r="F18" s="12"/>
    </row>
    <row r="20" spans="1:6" x14ac:dyDescent="0.25">
      <c r="A20" s="8" t="s">
        <v>167</v>
      </c>
      <c r="B20" s="8" t="s">
        <v>168</v>
      </c>
      <c r="C20" s="8" t="s">
        <v>169</v>
      </c>
      <c r="D20" s="8" t="s">
        <v>170</v>
      </c>
      <c r="E20" s="8" t="s">
        <v>171</v>
      </c>
    </row>
    <row r="21" spans="1:6" ht="30" x14ac:dyDescent="0.25">
      <c r="A21" s="10" t="s">
        <v>172</v>
      </c>
      <c r="B21" s="10" t="s">
        <v>173</v>
      </c>
      <c r="C21" s="10" t="s">
        <v>174</v>
      </c>
      <c r="D21" s="10" t="s">
        <v>175</v>
      </c>
      <c r="E21" s="10" t="s">
        <v>176</v>
      </c>
    </row>
    <row r="22" spans="1:6" ht="30" x14ac:dyDescent="0.25">
      <c r="A22" s="10" t="s">
        <v>177</v>
      </c>
      <c r="B22" s="10" t="s">
        <v>173</v>
      </c>
      <c r="C22" s="10" t="s">
        <v>178</v>
      </c>
      <c r="D22" s="10" t="s">
        <v>179</v>
      </c>
      <c r="E22" s="10" t="s">
        <v>180</v>
      </c>
    </row>
    <row r="23" spans="1:6" ht="30" x14ac:dyDescent="0.25">
      <c r="A23" s="10" t="s">
        <v>181</v>
      </c>
      <c r="B23" s="10" t="s">
        <v>182</v>
      </c>
      <c r="C23" s="10" t="s">
        <v>183</v>
      </c>
      <c r="D23" s="10" t="s">
        <v>184</v>
      </c>
      <c r="E23" s="10" t="s">
        <v>185</v>
      </c>
    </row>
    <row r="24" spans="1:6" ht="30" x14ac:dyDescent="0.25">
      <c r="A24" s="10" t="s">
        <v>186</v>
      </c>
      <c r="B24" s="10" t="s">
        <v>182</v>
      </c>
      <c r="C24" s="10" t="s">
        <v>187</v>
      </c>
      <c r="D24" s="10" t="s">
        <v>188</v>
      </c>
      <c r="E24" s="10" t="s">
        <v>189</v>
      </c>
    </row>
    <row r="26" spans="1:6" x14ac:dyDescent="0.25">
      <c r="A26" s="11" t="s">
        <v>167</v>
      </c>
      <c r="B26" s="11" t="s">
        <v>168</v>
      </c>
      <c r="C26" s="11" t="s">
        <v>169</v>
      </c>
      <c r="D26" s="11" t="s">
        <v>170</v>
      </c>
      <c r="E26" s="11" t="s">
        <v>171</v>
      </c>
    </row>
    <row r="27" spans="1:6" x14ac:dyDescent="0.25">
      <c r="A27" s="10" t="s">
        <v>74</v>
      </c>
      <c r="B27" s="10" t="s">
        <v>182</v>
      </c>
      <c r="C27" s="10" t="s">
        <v>190</v>
      </c>
      <c r="D27" s="10" t="s">
        <v>191</v>
      </c>
      <c r="E27" s="10" t="s">
        <v>192</v>
      </c>
    </row>
    <row r="28" spans="1:6" ht="30" x14ac:dyDescent="0.25">
      <c r="A28" s="10" t="s">
        <v>79</v>
      </c>
      <c r="B28" s="10" t="s">
        <v>182</v>
      </c>
      <c r="C28" s="10" t="s">
        <v>193</v>
      </c>
      <c r="D28" s="10" t="s">
        <v>194</v>
      </c>
      <c r="E28" s="10" t="s">
        <v>195</v>
      </c>
    </row>
    <row r="29" spans="1:6" x14ac:dyDescent="0.25">
      <c r="A29" s="10" t="s">
        <v>83</v>
      </c>
      <c r="B29" s="10" t="s">
        <v>196</v>
      </c>
      <c r="C29" s="10" t="s">
        <v>197</v>
      </c>
      <c r="D29" s="10" t="s">
        <v>198</v>
      </c>
      <c r="E29" s="10" t="s">
        <v>199</v>
      </c>
    </row>
    <row r="32" spans="1:6" x14ac:dyDescent="0.25">
      <c r="A32" s="1" t="s">
        <v>200</v>
      </c>
    </row>
    <row r="33" spans="1:6" x14ac:dyDescent="0.25">
      <c r="A33" s="12" t="s">
        <v>201</v>
      </c>
      <c r="B33" s="12"/>
      <c r="C33" s="12"/>
      <c r="D33" s="12"/>
      <c r="E33" s="12"/>
      <c r="F33" s="12"/>
    </row>
    <row r="34" spans="1:6" x14ac:dyDescent="0.25">
      <c r="A34" s="12" t="s">
        <v>202</v>
      </c>
      <c r="B34" s="12"/>
      <c r="C34" s="12"/>
      <c r="D34" s="12"/>
      <c r="E34" s="12"/>
      <c r="F34" s="12"/>
    </row>
    <row r="35" spans="1:6" x14ac:dyDescent="0.25">
      <c r="A35" s="12" t="s">
        <v>203</v>
      </c>
      <c r="B35" s="12"/>
      <c r="C35" s="12"/>
      <c r="D35" s="12"/>
      <c r="E35" s="12"/>
      <c r="F35" s="12"/>
    </row>
    <row r="36" spans="1:6" x14ac:dyDescent="0.25">
      <c r="A36" s="12" t="s">
        <v>204</v>
      </c>
      <c r="B36" s="12"/>
      <c r="C36" s="12"/>
      <c r="D36" s="12"/>
      <c r="E36" s="12"/>
      <c r="F36" s="12"/>
    </row>
    <row r="37" spans="1:6" x14ac:dyDescent="0.25">
      <c r="A37" s="12" t="s">
        <v>205</v>
      </c>
      <c r="B37" s="12"/>
      <c r="C37" s="12"/>
      <c r="D37" s="12"/>
      <c r="E37" s="12"/>
      <c r="F37" s="12"/>
    </row>
    <row r="38" spans="1:6" x14ac:dyDescent="0.25">
      <c r="A38" s="12" t="s">
        <v>206</v>
      </c>
      <c r="B38" s="12"/>
      <c r="C38" s="12"/>
      <c r="D38" s="12"/>
      <c r="E38" s="12"/>
      <c r="F38" s="12"/>
    </row>
    <row r="39" spans="1:6" x14ac:dyDescent="0.25">
      <c r="A39" s="12" t="s">
        <v>207</v>
      </c>
      <c r="B39" s="12"/>
      <c r="C39" s="12"/>
      <c r="D39" s="12"/>
      <c r="E39" s="12"/>
      <c r="F39" s="12"/>
    </row>
    <row r="40" spans="1:6" x14ac:dyDescent="0.25">
      <c r="A40" s="12" t="s">
        <v>208</v>
      </c>
      <c r="B40" s="12"/>
      <c r="C40" s="12"/>
      <c r="D40" s="12"/>
      <c r="E40" s="12"/>
      <c r="F40" s="12"/>
    </row>
    <row r="41" spans="1:6" x14ac:dyDescent="0.25">
      <c r="A41" s="12" t="s">
        <v>209</v>
      </c>
      <c r="B41" s="12"/>
      <c r="C41" s="12"/>
      <c r="D41" s="12"/>
      <c r="E41" s="12"/>
      <c r="F41" s="12"/>
    </row>
    <row r="42" spans="1:6" x14ac:dyDescent="0.25">
      <c r="A42" s="12" t="s">
        <v>210</v>
      </c>
      <c r="B42" s="12"/>
      <c r="C42" s="12"/>
      <c r="D42" s="12"/>
      <c r="E42" s="12"/>
      <c r="F42" s="12"/>
    </row>
  </sheetData>
  <mergeCells count="24">
    <mergeCell ref="A1:F1"/>
    <mergeCell ref="A6:F6"/>
    <mergeCell ref="A7:F7"/>
    <mergeCell ref="A42:F42"/>
    <mergeCell ref="A14:F14"/>
    <mergeCell ref="A5:F5"/>
    <mergeCell ref="A8:F8"/>
    <mergeCell ref="A35:F35"/>
    <mergeCell ref="A38:F38"/>
    <mergeCell ref="A10:F10"/>
    <mergeCell ref="A13:F13"/>
    <mergeCell ref="A9:F9"/>
    <mergeCell ref="A34:F34"/>
    <mergeCell ref="A40:F40"/>
    <mergeCell ref="A39:F39"/>
    <mergeCell ref="A15:F15"/>
    <mergeCell ref="A11:F11"/>
    <mergeCell ref="A36:F36"/>
    <mergeCell ref="A41:F41"/>
    <mergeCell ref="A37:F37"/>
    <mergeCell ref="A12:F12"/>
    <mergeCell ref="A18:F18"/>
    <mergeCell ref="A3:F3"/>
    <mergeCell ref="A33:F3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selection activeCell="B11" sqref="B11"/>
    </sheetView>
  </sheetViews>
  <sheetFormatPr defaultRowHeight="15" x14ac:dyDescent="0.25"/>
  <cols>
    <col min="1" max="1" width="17.28515625" customWidth="1"/>
  </cols>
  <sheetData>
    <row r="1" spans="1:4" ht="18.75" x14ac:dyDescent="0.3">
      <c r="A1" s="7" t="s">
        <v>211</v>
      </c>
    </row>
    <row r="3" spans="1:4" x14ac:dyDescent="0.25">
      <c r="A3" t="s">
        <v>167</v>
      </c>
      <c r="B3" t="s">
        <v>212</v>
      </c>
      <c r="C3" t="s">
        <v>124</v>
      </c>
      <c r="D3" t="s">
        <v>213</v>
      </c>
    </row>
    <row r="4" spans="1:4" x14ac:dyDescent="0.25">
      <c r="A4" t="s">
        <v>214</v>
      </c>
      <c r="B4">
        <v>9.1</v>
      </c>
      <c r="C4">
        <v>680</v>
      </c>
      <c r="D4">
        <v>1028</v>
      </c>
    </row>
    <row r="5" spans="1:4" x14ac:dyDescent="0.25">
      <c r="A5" t="s">
        <v>172</v>
      </c>
      <c r="B5">
        <v>8.6999999999999993</v>
      </c>
      <c r="C5">
        <v>620</v>
      </c>
      <c r="D5">
        <v>850</v>
      </c>
    </row>
    <row r="6" spans="1:4" x14ac:dyDescent="0.25">
      <c r="A6" t="s">
        <v>177</v>
      </c>
      <c r="B6">
        <v>8.6</v>
      </c>
      <c r="C6">
        <v>600</v>
      </c>
      <c r="D6">
        <v>640</v>
      </c>
    </row>
    <row r="7" spans="1:4" x14ac:dyDescent="0.25">
      <c r="A7" t="s">
        <v>181</v>
      </c>
      <c r="B7">
        <v>8.9</v>
      </c>
      <c r="C7">
        <v>520</v>
      </c>
      <c r="D7">
        <v>400</v>
      </c>
    </row>
    <row r="8" spans="1:4" x14ac:dyDescent="0.25">
      <c r="A8" t="s">
        <v>186</v>
      </c>
      <c r="B8">
        <v>8.4</v>
      </c>
      <c r="C8">
        <v>470</v>
      </c>
      <c r="D8">
        <v>701</v>
      </c>
    </row>
    <row r="9" spans="1:4" x14ac:dyDescent="0.25">
      <c r="A9" t="s">
        <v>74</v>
      </c>
      <c r="B9">
        <v>8.5</v>
      </c>
      <c r="C9">
        <v>550</v>
      </c>
      <c r="D9">
        <v>1254</v>
      </c>
    </row>
    <row r="10" spans="1:4" x14ac:dyDescent="0.25">
      <c r="A10" t="s">
        <v>79</v>
      </c>
      <c r="B10">
        <v>8.3000000000000007</v>
      </c>
      <c r="C10">
        <v>450</v>
      </c>
      <c r="D10">
        <v>869</v>
      </c>
    </row>
    <row r="11" spans="1:4" x14ac:dyDescent="0.25">
      <c r="A11" t="s">
        <v>83</v>
      </c>
      <c r="B11">
        <v>8.1999999999999993</v>
      </c>
      <c r="C11">
        <v>580</v>
      </c>
      <c r="D11">
        <v>550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Complete Compset Matrix</vt:lpstr>
      <vt:lpstr>Business Mix Analysis</vt:lpstr>
      <vt:lpstr>Rate Comparison Apr 2026</vt:lpstr>
      <vt:lpstr>Strategic Recommendations</vt:lpstr>
      <vt:lpstr>Visual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Reservations</cp:lastModifiedBy>
  <dcterms:created xsi:type="dcterms:W3CDTF">2025-11-05T17:39:56Z</dcterms:created>
  <dcterms:modified xsi:type="dcterms:W3CDTF">2025-11-06T06:52:34Z</dcterms:modified>
</cp:coreProperties>
</file>